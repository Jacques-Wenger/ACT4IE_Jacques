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wengerj\Documents\Travail\Optimisation_01\Nouveau PREDIS\Etude CIRED\Codes\data\"/>
    </mc:Choice>
  </mc:AlternateContent>
  <xr:revisionPtr revIDLastSave="0" documentId="13_ncr:1_{A781B1CA-C85E-41D4-A44E-F33A1E259E0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3" i="1"/>
  <c r="D2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3" i="1"/>
</calcChain>
</file>

<file path=xl/sharedStrings.xml><?xml version="1.0" encoding="utf-8"?>
<sst xmlns="http://schemas.openxmlformats.org/spreadsheetml/2006/main" count="94" uniqueCount="92">
  <si>
    <t>PV Prod</t>
  </si>
  <si>
    <t>hopital 275 lits conso</t>
  </si>
  <si>
    <t>890.4</t>
  </si>
  <si>
    <t>kw</t>
  </si>
  <si>
    <t>pu</t>
  </si>
  <si>
    <t>kW</t>
  </si>
  <si>
    <t>0.0109666666666667</t>
  </si>
  <si>
    <t>0.0517</t>
  </si>
  <si>
    <t>0.106533333333333</t>
  </si>
  <si>
    <t>0.142566666666667</t>
  </si>
  <si>
    <t>0.156666666666667</t>
  </si>
  <si>
    <t>0.153533333333333</t>
  </si>
  <si>
    <t>0.104966666666667</t>
  </si>
  <si>
    <t>0.0282</t>
  </si>
  <si>
    <t>Supermarket</t>
  </si>
  <si>
    <t>de base</t>
  </si>
  <si>
    <t>normalise</t>
  </si>
  <si>
    <t>pour 0.02 pu</t>
  </si>
  <si>
    <t>PV prod 4.7 MW</t>
  </si>
  <si>
    <t>0.0192707870164518</t>
  </si>
  <si>
    <t>0.0181547354379724</t>
  </si>
  <si>
    <t>0.0184304135171187</t>
  </si>
  <si>
    <t>0.017741218319253</t>
  </si>
  <si>
    <t>0.0180302356602935</t>
  </si>
  <si>
    <t>0.0172343263672743</t>
  </si>
  <si>
    <t>0.0177723432636727</t>
  </si>
  <si>
    <t>0.0195953757225434</t>
  </si>
  <si>
    <t>0.0196976433970654</t>
  </si>
  <si>
    <t>0.0192974655402401</t>
  </si>
  <si>
    <t>0.0195331258337039</t>
  </si>
  <si>
    <t>0.0195286794130725</t>
  </si>
  <si>
    <t>0.0196087149844375</t>
  </si>
  <si>
    <t>0.0199466429524233</t>
  </si>
  <si>
    <t>0.0193241440640285</t>
  </si>
  <si>
    <t>0.0198621609604269</t>
  </si>
  <si>
    <t>0.0195153401511783</t>
  </si>
  <si>
    <t>0.0197332147621165</t>
  </si>
  <si>
    <t>0.0199421965317919</t>
  </si>
  <si>
    <t>0.0200489106269453</t>
  </si>
  <si>
    <t>0.0196042685638061</t>
  </si>
  <si>
    <t>0.02</t>
  </si>
  <si>
    <t>0.0199333036905291</t>
  </si>
  <si>
    <t>Residentiel</t>
  </si>
  <si>
    <t>0,1 pu</t>
  </si>
  <si>
    <t>0.0196527623696472</t>
  </si>
  <si>
    <t>0.0158503439094742</t>
  </si>
  <si>
    <t>0.0152429554027069</t>
  </si>
  <si>
    <t>0.0149101397825605</t>
  </si>
  <si>
    <t>0.0226897049034835</t>
  </si>
  <si>
    <t>0.0385927446194808</t>
  </si>
  <si>
    <t>0.0573163967162192</t>
  </si>
  <si>
    <t>0.0518360328378079</t>
  </si>
  <si>
    <t>0.0360467051253606</t>
  </si>
  <si>
    <t>0.0252496117151098</t>
  </si>
  <si>
    <t>0.0136509873530064</t>
  </si>
  <si>
    <t>0.0130546927002441</t>
  </si>
  <si>
    <t>0.0114017084535168</t>
  </si>
  <si>
    <t>0.00901652984246727</t>
  </si>
  <si>
    <t>0.008597736853783</t>
  </si>
  <si>
    <t>0.0141696250277346</t>
  </si>
  <si>
    <t>0.053436321278012</t>
  </si>
  <si>
    <t>0.0916296871533171</t>
  </si>
  <si>
    <t>0.1</t>
  </si>
  <si>
    <t>0.097079542933215</t>
  </si>
  <si>
    <t>0.0959618371422232</t>
  </si>
  <si>
    <t>0.0770634568449079</t>
  </si>
  <si>
    <t>0.0535694475260706</t>
  </si>
  <si>
    <t>0.0350732194364322</t>
  </si>
  <si>
    <t>0.0982638118482361</t>
  </si>
  <si>
    <t>0.0792517195473708</t>
  </si>
  <si>
    <t>0.0762147770135345</t>
  </si>
  <si>
    <t>0.0745506989128023</t>
  </si>
  <si>
    <t>0.113448524517417</t>
  </si>
  <si>
    <t>0.192963723097404</t>
  </si>
  <si>
    <t>0.286581983581096</t>
  </si>
  <si>
    <t>0.259180164189039</t>
  </si>
  <si>
    <t>0.180233525626803</t>
  </si>
  <si>
    <t>0.126248058575549</t>
  </si>
  <si>
    <t>0.0682549367650322</t>
  </si>
  <si>
    <t>0.0652734635012203</t>
  </si>
  <si>
    <t>0.0570085422675838</t>
  </si>
  <si>
    <t>0.0450826492123364</t>
  </si>
  <si>
    <t>0.042988684268915</t>
  </si>
  <si>
    <t>0.0708481251386732</t>
  </si>
  <si>
    <t>0.26718160639006</t>
  </si>
  <si>
    <t>0.458148435766585</t>
  </si>
  <si>
    <t>0.5</t>
  </si>
  <si>
    <t>0.485397714666075</t>
  </si>
  <si>
    <t>0.479809185711116</t>
  </si>
  <si>
    <t>0.38531728422454</t>
  </si>
  <si>
    <t>0.267847237630353</t>
  </si>
  <si>
    <t>0.175366097182161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</si>
</sst>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topLeftCell="A19" workbookViewId="0">
      <selection activeCell="R52" sqref="R29:R52"/>
    </sheetView>
  </sheetViews>
  <sheetFormatPr baseColWidth="10" defaultColWidth="8.88671875" defaultRowHeight="14.4" x14ac:dyDescent="0.3"/>
  <cols>
    <col min="3" max="3" width="19.88671875" customWidth="1"/>
    <col min="18" max="18" width="15.5546875" customWidth="1"/>
  </cols>
  <sheetData>
    <row r="1" spans="1:18" x14ac:dyDescent="0.3">
      <c r="A1">
        <v>30000000</v>
      </c>
      <c r="C1" t="s">
        <v>3</v>
      </c>
      <c r="D1" t="s">
        <v>4</v>
      </c>
      <c r="F1" t="s">
        <v>5</v>
      </c>
      <c r="G1" t="s">
        <v>4</v>
      </c>
      <c r="J1" t="s">
        <v>15</v>
      </c>
      <c r="K1" t="s">
        <v>16</v>
      </c>
      <c r="L1" t="s">
        <v>17</v>
      </c>
      <c r="Q1" t="s">
        <v>43</v>
      </c>
      <c r="R1">
        <v>0.5</v>
      </c>
    </row>
    <row r="2" spans="1:18" x14ac:dyDescent="0.3">
      <c r="B2" s="1" t="s">
        <v>0</v>
      </c>
      <c r="C2" s="2" t="s">
        <v>1</v>
      </c>
      <c r="D2" s="2"/>
      <c r="F2" s="2" t="s">
        <v>18</v>
      </c>
      <c r="G2" s="2"/>
      <c r="J2" s="1" t="s">
        <v>14</v>
      </c>
      <c r="O2" t="s">
        <v>42</v>
      </c>
    </row>
    <row r="3" spans="1:18" x14ac:dyDescent="0.3">
      <c r="B3">
        <v>0</v>
      </c>
      <c r="C3" t="s">
        <v>2</v>
      </c>
      <c r="D3" t="e">
        <f>C3*1000/$A$1</f>
        <v>#VALUE!</v>
      </c>
      <c r="F3">
        <f>4.7*1000*B3</f>
        <v>0</v>
      </c>
      <c r="G3">
        <f>F3*1000/$A$1</f>
        <v>0</v>
      </c>
      <c r="J3">
        <v>433.4</v>
      </c>
      <c r="K3">
        <f>J3/$J$25</f>
        <v>0.96353935082258779</v>
      </c>
      <c r="L3">
        <f>K3*0.02</f>
        <v>1.9270787016451758E-2</v>
      </c>
      <c r="O3">
        <v>70.86</v>
      </c>
      <c r="P3">
        <f>O3/$O$21</f>
        <v>0.19652762369647214</v>
      </c>
      <c r="Q3">
        <f>P3*0.1</f>
        <v>1.9652762369647216E-2</v>
      </c>
      <c r="R3">
        <f>0.5*P3</f>
        <v>9.8263811848236071E-2</v>
      </c>
    </row>
    <row r="4" spans="1:18" x14ac:dyDescent="0.3">
      <c r="B4">
        <v>0</v>
      </c>
      <c r="C4">
        <v>899.85</v>
      </c>
      <c r="D4">
        <f t="shared" ref="D4:D25" si="0">C4*1000/$A$1</f>
        <v>2.9995000000000001E-2</v>
      </c>
      <c r="F4">
        <f t="shared" ref="F4:F26" si="1">4.7*1000*B4</f>
        <v>0</v>
      </c>
      <c r="G4">
        <f t="shared" ref="G4:G26" si="2">F4*1000/$A$1</f>
        <v>0</v>
      </c>
      <c r="J4">
        <v>408.3</v>
      </c>
      <c r="K4">
        <f t="shared" ref="K4:K26" si="3">J4/$J$25</f>
        <v>0.90773677189862156</v>
      </c>
      <c r="L4">
        <f t="shared" ref="L4:L26" si="4">K4*0.02</f>
        <v>1.8154735437972431E-2</v>
      </c>
      <c r="O4">
        <v>57.15</v>
      </c>
      <c r="P4">
        <f t="shared" ref="P4:P26" si="5">O4/$O$21</f>
        <v>0.15850343909474152</v>
      </c>
      <c r="Q4">
        <f t="shared" ref="Q4:Q26" si="6">P4*0.1</f>
        <v>1.5850343909474152E-2</v>
      </c>
      <c r="R4">
        <f t="shared" ref="R4:R28" si="7">0.5*P4</f>
        <v>7.9251719547370758E-2</v>
      </c>
    </row>
    <row r="5" spans="1:18" x14ac:dyDescent="0.3">
      <c r="B5">
        <v>0</v>
      </c>
      <c r="C5">
        <v>898.8</v>
      </c>
      <c r="D5">
        <f t="shared" si="0"/>
        <v>2.9960000000000001E-2</v>
      </c>
      <c r="F5">
        <f t="shared" si="1"/>
        <v>0</v>
      </c>
      <c r="G5">
        <f t="shared" si="2"/>
        <v>0</v>
      </c>
      <c r="J5">
        <v>414.5</v>
      </c>
      <c r="K5">
        <f t="shared" si="3"/>
        <v>0.921520675855936</v>
      </c>
      <c r="L5">
        <f t="shared" si="4"/>
        <v>1.8430413517118719E-2</v>
      </c>
      <c r="O5">
        <v>54.96</v>
      </c>
      <c r="P5">
        <f t="shared" si="5"/>
        <v>0.15242955402706901</v>
      </c>
      <c r="Q5">
        <f t="shared" si="6"/>
        <v>1.5242955402706902E-2</v>
      </c>
      <c r="R5">
        <f t="shared" si="7"/>
        <v>7.6214777013534504E-2</v>
      </c>
    </row>
    <row r="6" spans="1:18" x14ac:dyDescent="0.3">
      <c r="B6">
        <v>0</v>
      </c>
      <c r="C6">
        <v>911.19</v>
      </c>
      <c r="D6">
        <f t="shared" si="0"/>
        <v>3.0373000000000001E-2</v>
      </c>
      <c r="F6">
        <f t="shared" si="1"/>
        <v>0</v>
      </c>
      <c r="G6">
        <f t="shared" si="2"/>
        <v>0</v>
      </c>
      <c r="J6">
        <v>399</v>
      </c>
      <c r="K6">
        <f t="shared" si="3"/>
        <v>0.88706091596265002</v>
      </c>
      <c r="L6">
        <f t="shared" si="4"/>
        <v>1.7741218319253002E-2</v>
      </c>
      <c r="O6">
        <v>53.76</v>
      </c>
      <c r="P6">
        <f t="shared" si="5"/>
        <v>0.14910139782560461</v>
      </c>
      <c r="Q6">
        <f t="shared" si="6"/>
        <v>1.4910139782560462E-2</v>
      </c>
      <c r="R6">
        <f t="shared" si="7"/>
        <v>7.4550698912802305E-2</v>
      </c>
    </row>
    <row r="7" spans="1:18" x14ac:dyDescent="0.3">
      <c r="B7">
        <v>0</v>
      </c>
      <c r="C7">
        <v>915.81</v>
      </c>
      <c r="D7">
        <f t="shared" si="0"/>
        <v>3.0526999999999999E-2</v>
      </c>
      <c r="F7">
        <f t="shared" si="1"/>
        <v>0</v>
      </c>
      <c r="G7">
        <f t="shared" si="2"/>
        <v>0</v>
      </c>
      <c r="J7">
        <v>405.5</v>
      </c>
      <c r="K7">
        <f t="shared" si="3"/>
        <v>0.90151178301467316</v>
      </c>
      <c r="L7">
        <f t="shared" si="4"/>
        <v>1.8030235660293464E-2</v>
      </c>
      <c r="O7">
        <v>81.81</v>
      </c>
      <c r="P7">
        <f t="shared" si="5"/>
        <v>0.22689704903483471</v>
      </c>
      <c r="Q7">
        <f t="shared" si="6"/>
        <v>2.2689704903483474E-2</v>
      </c>
      <c r="R7">
        <f t="shared" si="7"/>
        <v>0.11344852451741735</v>
      </c>
    </row>
    <row r="8" spans="1:18" x14ac:dyDescent="0.3">
      <c r="B8">
        <v>0</v>
      </c>
      <c r="C8">
        <v>931.98</v>
      </c>
      <c r="D8">
        <f t="shared" si="0"/>
        <v>3.1066E-2</v>
      </c>
      <c r="F8">
        <f t="shared" si="1"/>
        <v>0</v>
      </c>
      <c r="G8">
        <f t="shared" si="2"/>
        <v>0</v>
      </c>
      <c r="J8">
        <v>387.6</v>
      </c>
      <c r="K8">
        <f t="shared" si="3"/>
        <v>0.8617163183637172</v>
      </c>
      <c r="L8">
        <f t="shared" si="4"/>
        <v>1.7234326367274344E-2</v>
      </c>
      <c r="O8">
        <v>139.15</v>
      </c>
      <c r="P8">
        <f t="shared" si="5"/>
        <v>0.38592744619480807</v>
      </c>
      <c r="Q8">
        <f t="shared" si="6"/>
        <v>3.8592744619480812E-2</v>
      </c>
      <c r="R8">
        <f t="shared" si="7"/>
        <v>0.19296372309740403</v>
      </c>
    </row>
    <row r="9" spans="1:18" x14ac:dyDescent="0.3">
      <c r="B9">
        <v>0</v>
      </c>
      <c r="C9">
        <v>953.61</v>
      </c>
      <c r="D9">
        <f t="shared" si="0"/>
        <v>3.1787000000000003E-2</v>
      </c>
      <c r="F9">
        <f t="shared" si="1"/>
        <v>0</v>
      </c>
      <c r="G9">
        <f t="shared" si="2"/>
        <v>0</v>
      </c>
      <c r="J9">
        <v>399.7</v>
      </c>
      <c r="K9">
        <f t="shared" si="3"/>
        <v>0.88861716318363715</v>
      </c>
      <c r="L9">
        <f t="shared" si="4"/>
        <v>1.7772343263672743E-2</v>
      </c>
      <c r="O9">
        <v>206.66</v>
      </c>
      <c r="P9">
        <f t="shared" si="5"/>
        <v>0.57316396716219209</v>
      </c>
      <c r="Q9">
        <f t="shared" si="6"/>
        <v>5.7316396716219215E-2</v>
      </c>
      <c r="R9">
        <f t="shared" si="7"/>
        <v>0.28658198358109604</v>
      </c>
    </row>
    <row r="10" spans="1:18" x14ac:dyDescent="0.3">
      <c r="B10">
        <v>0</v>
      </c>
      <c r="C10">
        <v>971.67</v>
      </c>
      <c r="D10">
        <f t="shared" si="0"/>
        <v>3.2389000000000001E-2</v>
      </c>
      <c r="F10">
        <f t="shared" si="1"/>
        <v>0</v>
      </c>
      <c r="G10">
        <f t="shared" si="2"/>
        <v>0</v>
      </c>
      <c r="J10">
        <v>440.7</v>
      </c>
      <c r="K10">
        <f t="shared" si="3"/>
        <v>0.97976878612716756</v>
      </c>
      <c r="L10">
        <f t="shared" si="4"/>
        <v>1.9595375722543353E-2</v>
      </c>
      <c r="O10">
        <v>186.9</v>
      </c>
      <c r="P10">
        <f t="shared" si="5"/>
        <v>0.51836032837807855</v>
      </c>
      <c r="Q10">
        <f t="shared" si="6"/>
        <v>5.1836032837807855E-2</v>
      </c>
      <c r="R10">
        <f t="shared" si="7"/>
        <v>0.25918016418903927</v>
      </c>
    </row>
    <row r="11" spans="1:18" x14ac:dyDescent="0.3">
      <c r="B11">
        <v>7.0000000000000007E-2</v>
      </c>
      <c r="C11">
        <v>979.23</v>
      </c>
      <c r="D11">
        <f t="shared" si="0"/>
        <v>3.2641000000000003E-2</v>
      </c>
      <c r="F11">
        <f t="shared" si="1"/>
        <v>329.00000000000006</v>
      </c>
      <c r="G11">
        <f t="shared" si="2"/>
        <v>1.0966666666666668E-2</v>
      </c>
      <c r="J11">
        <v>443</v>
      </c>
      <c r="K11">
        <f t="shared" si="3"/>
        <v>0.98488216985326804</v>
      </c>
      <c r="L11">
        <f t="shared" si="4"/>
        <v>1.9697643397065361E-2</v>
      </c>
      <c r="O11">
        <v>129.97</v>
      </c>
      <c r="P11">
        <f t="shared" si="5"/>
        <v>0.36046705125360551</v>
      </c>
      <c r="Q11">
        <f t="shared" si="6"/>
        <v>3.6046705125360554E-2</v>
      </c>
      <c r="R11">
        <f t="shared" si="7"/>
        <v>0.18023352562680275</v>
      </c>
    </row>
    <row r="12" spans="1:18" x14ac:dyDescent="0.3">
      <c r="B12">
        <v>0.33</v>
      </c>
      <c r="C12">
        <v>976.29</v>
      </c>
      <c r="D12">
        <f t="shared" si="0"/>
        <v>3.2543000000000002E-2</v>
      </c>
      <c r="F12">
        <f t="shared" si="1"/>
        <v>1551</v>
      </c>
      <c r="G12">
        <f t="shared" si="2"/>
        <v>5.1700000000000003E-2</v>
      </c>
      <c r="J12">
        <v>434</v>
      </c>
      <c r="K12">
        <f t="shared" si="3"/>
        <v>0.96487327701200531</v>
      </c>
      <c r="L12">
        <f t="shared" si="4"/>
        <v>1.9297465540240106E-2</v>
      </c>
      <c r="O12">
        <v>91.04</v>
      </c>
      <c r="P12">
        <f t="shared" si="5"/>
        <v>0.25249611715109832</v>
      </c>
      <c r="Q12">
        <f t="shared" si="6"/>
        <v>2.5249611715109834E-2</v>
      </c>
      <c r="R12">
        <f t="shared" si="7"/>
        <v>0.12624805857554916</v>
      </c>
    </row>
    <row r="13" spans="1:18" x14ac:dyDescent="0.3">
      <c r="B13">
        <v>0.68</v>
      </c>
      <c r="C13">
        <v>976.29</v>
      </c>
      <c r="D13">
        <f t="shared" si="0"/>
        <v>3.2543000000000002E-2</v>
      </c>
      <c r="F13">
        <f t="shared" si="1"/>
        <v>3196.0000000000005</v>
      </c>
      <c r="G13">
        <f t="shared" si="2"/>
        <v>0.10653333333333335</v>
      </c>
      <c r="J13">
        <v>443</v>
      </c>
      <c r="K13">
        <f t="shared" si="3"/>
        <v>0.98488216985326804</v>
      </c>
      <c r="L13">
        <f t="shared" si="4"/>
        <v>1.9697643397065361E-2</v>
      </c>
      <c r="O13">
        <v>49.22</v>
      </c>
      <c r="P13">
        <f t="shared" si="5"/>
        <v>0.13650987353006433</v>
      </c>
      <c r="Q13">
        <f t="shared" si="6"/>
        <v>1.3650987353006433E-2</v>
      </c>
      <c r="R13">
        <f t="shared" si="7"/>
        <v>6.8254936765032165E-2</v>
      </c>
    </row>
    <row r="14" spans="1:18" x14ac:dyDescent="0.3">
      <c r="B14">
        <v>0.91</v>
      </c>
      <c r="C14">
        <v>980.07</v>
      </c>
      <c r="D14">
        <f t="shared" si="0"/>
        <v>3.2668999999999997E-2</v>
      </c>
      <c r="F14">
        <f t="shared" si="1"/>
        <v>4277</v>
      </c>
      <c r="G14">
        <f t="shared" si="2"/>
        <v>0.14256666666666667</v>
      </c>
      <c r="J14">
        <v>439.3</v>
      </c>
      <c r="K14">
        <f t="shared" si="3"/>
        <v>0.97665629168519341</v>
      </c>
      <c r="L14">
        <f t="shared" si="4"/>
        <v>1.9533125833703868E-2</v>
      </c>
      <c r="O14">
        <v>47.07</v>
      </c>
      <c r="P14">
        <f t="shared" si="5"/>
        <v>0.13054692700244064</v>
      </c>
      <c r="Q14">
        <f t="shared" si="6"/>
        <v>1.3054692700244064E-2</v>
      </c>
      <c r="R14">
        <f t="shared" si="7"/>
        <v>6.5273463501220319E-2</v>
      </c>
    </row>
    <row r="15" spans="1:18" x14ac:dyDescent="0.3">
      <c r="B15">
        <v>1</v>
      </c>
      <c r="C15">
        <v>986.79</v>
      </c>
      <c r="D15">
        <f t="shared" si="0"/>
        <v>3.2892999999999999E-2</v>
      </c>
      <c r="F15">
        <f t="shared" si="1"/>
        <v>4700</v>
      </c>
      <c r="G15">
        <f t="shared" si="2"/>
        <v>0.15666666666666668</v>
      </c>
      <c r="J15">
        <v>439.2</v>
      </c>
      <c r="K15">
        <f t="shared" si="3"/>
        <v>0.97643397065362381</v>
      </c>
      <c r="L15">
        <f t="shared" si="4"/>
        <v>1.9528679413072476E-2</v>
      </c>
      <c r="O15">
        <v>41.11</v>
      </c>
      <c r="P15">
        <f t="shared" si="5"/>
        <v>0.11401708453516751</v>
      </c>
      <c r="Q15">
        <f t="shared" si="6"/>
        <v>1.1401708453516752E-2</v>
      </c>
      <c r="R15">
        <f t="shared" si="7"/>
        <v>5.7008542267583756E-2</v>
      </c>
    </row>
    <row r="16" spans="1:18" x14ac:dyDescent="0.3">
      <c r="B16">
        <v>0.98</v>
      </c>
      <c r="C16">
        <v>980.07</v>
      </c>
      <c r="D16">
        <f t="shared" si="0"/>
        <v>3.2668999999999997E-2</v>
      </c>
      <c r="F16">
        <f t="shared" si="1"/>
        <v>4606</v>
      </c>
      <c r="G16">
        <f t="shared" si="2"/>
        <v>0.15353333333333333</v>
      </c>
      <c r="J16">
        <v>441</v>
      </c>
      <c r="K16">
        <f t="shared" si="3"/>
        <v>0.98043574922187637</v>
      </c>
      <c r="L16">
        <f t="shared" si="4"/>
        <v>1.9608714984437527E-2</v>
      </c>
      <c r="O16">
        <v>32.51</v>
      </c>
      <c r="P16">
        <f t="shared" si="5"/>
        <v>9.0165298424672718E-2</v>
      </c>
      <c r="Q16">
        <f t="shared" si="6"/>
        <v>9.0165298424672718E-3</v>
      </c>
      <c r="R16">
        <f t="shared" si="7"/>
        <v>4.5082649212336359E-2</v>
      </c>
    </row>
    <row r="17" spans="2:18" x14ac:dyDescent="0.3">
      <c r="B17">
        <v>0.67</v>
      </c>
      <c r="C17">
        <v>984.06</v>
      </c>
      <c r="D17">
        <f t="shared" si="0"/>
        <v>3.2801999999999998E-2</v>
      </c>
      <c r="F17">
        <f t="shared" si="1"/>
        <v>3149</v>
      </c>
      <c r="G17">
        <f t="shared" si="2"/>
        <v>0.10496666666666667</v>
      </c>
      <c r="J17">
        <v>448.6</v>
      </c>
      <c r="K17">
        <f t="shared" si="3"/>
        <v>0.99733214762116495</v>
      </c>
      <c r="L17">
        <f t="shared" si="4"/>
        <v>1.99466429524233E-2</v>
      </c>
      <c r="O17">
        <v>31</v>
      </c>
      <c r="P17">
        <f t="shared" si="5"/>
        <v>8.5977368537830043E-2</v>
      </c>
      <c r="Q17">
        <f t="shared" si="6"/>
        <v>8.5977368537830043E-3</v>
      </c>
      <c r="R17">
        <f t="shared" si="7"/>
        <v>4.2988684268915021E-2</v>
      </c>
    </row>
    <row r="18" spans="2:18" x14ac:dyDescent="0.3">
      <c r="B18">
        <v>0.18</v>
      </c>
      <c r="C18">
        <v>980.07</v>
      </c>
      <c r="D18">
        <f t="shared" si="0"/>
        <v>3.2668999999999997E-2</v>
      </c>
      <c r="F18">
        <f t="shared" si="1"/>
        <v>846</v>
      </c>
      <c r="G18">
        <f t="shared" si="2"/>
        <v>2.8199999999999999E-2</v>
      </c>
      <c r="J18">
        <v>434.6</v>
      </c>
      <c r="K18">
        <f t="shared" si="3"/>
        <v>0.96620720320142284</v>
      </c>
      <c r="L18">
        <f t="shared" si="4"/>
        <v>1.9324144064028458E-2</v>
      </c>
      <c r="O18">
        <v>51.09</v>
      </c>
      <c r="P18">
        <f t="shared" si="5"/>
        <v>0.14169625027734636</v>
      </c>
      <c r="Q18">
        <f t="shared" si="6"/>
        <v>1.4169625027734637E-2</v>
      </c>
      <c r="R18">
        <f t="shared" si="7"/>
        <v>7.0848125138673182E-2</v>
      </c>
    </row>
    <row r="19" spans="2:18" x14ac:dyDescent="0.3">
      <c r="B19">
        <v>0</v>
      </c>
      <c r="C19">
        <v>968.1</v>
      </c>
      <c r="D19">
        <f t="shared" si="0"/>
        <v>3.227E-2</v>
      </c>
      <c r="F19">
        <f t="shared" si="1"/>
        <v>0</v>
      </c>
      <c r="G19">
        <f t="shared" si="2"/>
        <v>0</v>
      </c>
      <c r="J19">
        <v>446.7</v>
      </c>
      <c r="K19">
        <f t="shared" si="3"/>
        <v>0.99310804802134278</v>
      </c>
      <c r="L19">
        <f t="shared" si="4"/>
        <v>1.9862160960426856E-2</v>
      </c>
      <c r="O19">
        <v>192.67</v>
      </c>
      <c r="P19">
        <f t="shared" si="5"/>
        <v>0.53436321278011978</v>
      </c>
      <c r="Q19">
        <f t="shared" si="6"/>
        <v>5.3436321278011983E-2</v>
      </c>
      <c r="R19">
        <f t="shared" si="7"/>
        <v>0.26718160639005989</v>
      </c>
    </row>
    <row r="20" spans="2:18" x14ac:dyDescent="0.3">
      <c r="B20">
        <v>0</v>
      </c>
      <c r="C20">
        <v>950.88</v>
      </c>
      <c r="D20">
        <f t="shared" si="0"/>
        <v>3.1696000000000002E-2</v>
      </c>
      <c r="F20">
        <f t="shared" si="1"/>
        <v>0</v>
      </c>
      <c r="G20">
        <f t="shared" si="2"/>
        <v>0</v>
      </c>
      <c r="J20">
        <v>438.9</v>
      </c>
      <c r="K20">
        <f t="shared" si="3"/>
        <v>0.97576700755891499</v>
      </c>
      <c r="L20">
        <f t="shared" si="4"/>
        <v>1.9515340151178302E-2</v>
      </c>
      <c r="O20">
        <v>330.38</v>
      </c>
      <c r="P20">
        <f t="shared" si="5"/>
        <v>0.91629687153317063</v>
      </c>
      <c r="Q20">
        <f t="shared" si="6"/>
        <v>9.1629687153317069E-2</v>
      </c>
      <c r="R20">
        <f t="shared" si="7"/>
        <v>0.45814843576658532</v>
      </c>
    </row>
    <row r="21" spans="2:18" x14ac:dyDescent="0.3">
      <c r="B21">
        <v>0</v>
      </c>
      <c r="C21">
        <v>940.59</v>
      </c>
      <c r="D21">
        <f t="shared" si="0"/>
        <v>3.1352999999999999E-2</v>
      </c>
      <c r="F21">
        <f t="shared" si="1"/>
        <v>0</v>
      </c>
      <c r="G21">
        <f t="shared" si="2"/>
        <v>0</v>
      </c>
      <c r="J21">
        <v>443.8</v>
      </c>
      <c r="K21">
        <f t="shared" si="3"/>
        <v>0.98666073810582477</v>
      </c>
      <c r="L21">
        <f t="shared" si="4"/>
        <v>1.9733214762116497E-2</v>
      </c>
      <c r="O21">
        <v>360.56</v>
      </c>
      <c r="P21">
        <f t="shared" si="5"/>
        <v>1</v>
      </c>
      <c r="Q21">
        <f t="shared" si="6"/>
        <v>0.1</v>
      </c>
      <c r="R21">
        <f t="shared" si="7"/>
        <v>0.5</v>
      </c>
    </row>
    <row r="22" spans="2:18" x14ac:dyDescent="0.3">
      <c r="B22">
        <v>0</v>
      </c>
      <c r="C22">
        <v>954.66</v>
      </c>
      <c r="D22">
        <f t="shared" si="0"/>
        <v>3.1822000000000003E-2</v>
      </c>
      <c r="F22">
        <f t="shared" si="1"/>
        <v>0</v>
      </c>
      <c r="G22">
        <f t="shared" si="2"/>
        <v>0</v>
      </c>
      <c r="J22">
        <v>448.5</v>
      </c>
      <c r="K22">
        <f t="shared" si="3"/>
        <v>0.99710982658959535</v>
      </c>
      <c r="L22">
        <f t="shared" si="4"/>
        <v>1.9942196531791908E-2</v>
      </c>
      <c r="O22">
        <v>350.03</v>
      </c>
      <c r="P22">
        <f t="shared" si="5"/>
        <v>0.97079542933214991</v>
      </c>
      <c r="Q22">
        <f t="shared" si="6"/>
        <v>9.7079542933214996E-2</v>
      </c>
      <c r="R22">
        <f t="shared" si="7"/>
        <v>0.48539771466607495</v>
      </c>
    </row>
    <row r="23" spans="2:18" x14ac:dyDescent="0.3">
      <c r="B23">
        <v>0</v>
      </c>
      <c r="C23">
        <v>935.76</v>
      </c>
      <c r="D23">
        <f t="shared" si="0"/>
        <v>3.1192000000000001E-2</v>
      </c>
      <c r="F23">
        <f t="shared" si="1"/>
        <v>0</v>
      </c>
      <c r="G23">
        <f t="shared" si="2"/>
        <v>0</v>
      </c>
      <c r="J23">
        <v>450.9</v>
      </c>
      <c r="K23">
        <f t="shared" si="3"/>
        <v>1.0024455313472653</v>
      </c>
      <c r="L23">
        <f t="shared" si="4"/>
        <v>2.0048910626945308E-2</v>
      </c>
      <c r="O23">
        <v>346</v>
      </c>
      <c r="P23">
        <f t="shared" si="5"/>
        <v>0.95961837142223205</v>
      </c>
      <c r="Q23">
        <f t="shared" si="6"/>
        <v>9.5961837142223214E-2</v>
      </c>
      <c r="R23">
        <f t="shared" si="7"/>
        <v>0.47980918571111603</v>
      </c>
    </row>
    <row r="24" spans="2:18" x14ac:dyDescent="0.3">
      <c r="B24">
        <v>0</v>
      </c>
      <c r="C24">
        <v>933.87</v>
      </c>
      <c r="D24">
        <f t="shared" si="0"/>
        <v>3.1129E-2</v>
      </c>
      <c r="F24">
        <f t="shared" si="1"/>
        <v>0</v>
      </c>
      <c r="G24">
        <f t="shared" si="2"/>
        <v>0</v>
      </c>
      <c r="J24">
        <v>440.9</v>
      </c>
      <c r="K24">
        <f t="shared" si="3"/>
        <v>0.98021342819030677</v>
      </c>
      <c r="L24">
        <f t="shared" si="4"/>
        <v>1.9604268563806135E-2</v>
      </c>
      <c r="O24">
        <v>277.86</v>
      </c>
      <c r="P24">
        <f t="shared" si="5"/>
        <v>0.77063456844907929</v>
      </c>
      <c r="Q24">
        <f t="shared" si="6"/>
        <v>7.7063456844907938E-2</v>
      </c>
      <c r="R24">
        <f t="shared" si="7"/>
        <v>0.38531728422453965</v>
      </c>
    </row>
    <row r="25" spans="2:18" x14ac:dyDescent="0.3">
      <c r="B25">
        <v>0</v>
      </c>
      <c r="C25">
        <v>930.09</v>
      </c>
      <c r="D25">
        <f t="shared" si="0"/>
        <v>3.1002999999999999E-2</v>
      </c>
      <c r="F25">
        <f t="shared" si="1"/>
        <v>0</v>
      </c>
      <c r="G25">
        <f t="shared" si="2"/>
        <v>0</v>
      </c>
      <c r="J25">
        <v>449.8</v>
      </c>
      <c r="K25">
        <f t="shared" si="3"/>
        <v>1</v>
      </c>
      <c r="L25">
        <f t="shared" si="4"/>
        <v>0.02</v>
      </c>
      <c r="O25">
        <v>193.15</v>
      </c>
      <c r="P25">
        <f t="shared" si="5"/>
        <v>0.53569447526070557</v>
      </c>
      <c r="Q25">
        <f t="shared" si="6"/>
        <v>5.3569447526070561E-2</v>
      </c>
      <c r="R25">
        <f t="shared" si="7"/>
        <v>0.26784723763035279</v>
      </c>
    </row>
    <row r="26" spans="2:18" x14ac:dyDescent="0.3">
      <c r="B26">
        <v>0</v>
      </c>
      <c r="C26">
        <v>942.48</v>
      </c>
      <c r="D26">
        <f>C26*1000/$A$1</f>
        <v>3.1415999999999999E-2</v>
      </c>
      <c r="F26">
        <f t="shared" si="1"/>
        <v>0</v>
      </c>
      <c r="G26">
        <f t="shared" si="2"/>
        <v>0</v>
      </c>
      <c r="J26">
        <v>448.3</v>
      </c>
      <c r="K26">
        <f t="shared" si="3"/>
        <v>0.99666518452645625</v>
      </c>
      <c r="L26">
        <f t="shared" si="4"/>
        <v>1.9933303690529126E-2</v>
      </c>
      <c r="O26">
        <v>126.46</v>
      </c>
      <c r="P26">
        <f t="shared" si="5"/>
        <v>0.35073219436432213</v>
      </c>
      <c r="Q26">
        <f t="shared" si="6"/>
        <v>3.5073219436432213E-2</v>
      </c>
      <c r="R26">
        <f t="shared" si="7"/>
        <v>0.17536609718216106</v>
      </c>
    </row>
    <row r="29" spans="2:18" x14ac:dyDescent="0.3">
      <c r="G29">
        <v>0</v>
      </c>
      <c r="L29" t="s">
        <v>19</v>
      </c>
      <c r="Q29" t="s">
        <v>44</v>
      </c>
      <c r="R29" t="s">
        <v>68</v>
      </c>
    </row>
    <row r="30" spans="2:18" x14ac:dyDescent="0.3">
      <c r="G30">
        <v>0</v>
      </c>
      <c r="L30" t="s">
        <v>20</v>
      </c>
      <c r="Q30" t="s">
        <v>45</v>
      </c>
      <c r="R30" t="s">
        <v>69</v>
      </c>
    </row>
    <row r="31" spans="2:18" x14ac:dyDescent="0.3">
      <c r="G31">
        <v>0</v>
      </c>
      <c r="L31" t="s">
        <v>21</v>
      </c>
      <c r="Q31" t="s">
        <v>46</v>
      </c>
      <c r="R31" t="s">
        <v>70</v>
      </c>
    </row>
    <row r="32" spans="2:18" x14ac:dyDescent="0.3">
      <c r="G32">
        <v>0</v>
      </c>
      <c r="L32" t="s">
        <v>22</v>
      </c>
      <c r="Q32" t="s">
        <v>47</v>
      </c>
      <c r="R32" t="s">
        <v>71</v>
      </c>
    </row>
    <row r="33" spans="7:18" x14ac:dyDescent="0.3">
      <c r="G33">
        <v>0</v>
      </c>
      <c r="L33" t="s">
        <v>23</v>
      </c>
      <c r="Q33" t="s">
        <v>48</v>
      </c>
      <c r="R33" t="s">
        <v>72</v>
      </c>
    </row>
    <row r="34" spans="7:18" x14ac:dyDescent="0.3">
      <c r="G34">
        <v>0</v>
      </c>
      <c r="L34" t="s">
        <v>24</v>
      </c>
      <c r="Q34" t="s">
        <v>49</v>
      </c>
      <c r="R34" t="s">
        <v>73</v>
      </c>
    </row>
    <row r="35" spans="7:18" x14ac:dyDescent="0.3">
      <c r="G35">
        <v>0</v>
      </c>
      <c r="L35" t="s">
        <v>25</v>
      </c>
      <c r="Q35" t="s">
        <v>50</v>
      </c>
      <c r="R35" t="s">
        <v>74</v>
      </c>
    </row>
    <row r="36" spans="7:18" x14ac:dyDescent="0.3">
      <c r="G36">
        <v>0</v>
      </c>
      <c r="L36" t="s">
        <v>26</v>
      </c>
      <c r="Q36" t="s">
        <v>51</v>
      </c>
      <c r="R36" t="s">
        <v>75</v>
      </c>
    </row>
    <row r="37" spans="7:18" x14ac:dyDescent="0.3">
      <c r="G37" t="s">
        <v>6</v>
      </c>
      <c r="L37" t="s">
        <v>27</v>
      </c>
      <c r="Q37" t="s">
        <v>52</v>
      </c>
      <c r="R37" t="s">
        <v>76</v>
      </c>
    </row>
    <row r="38" spans="7:18" x14ac:dyDescent="0.3">
      <c r="G38" t="s">
        <v>7</v>
      </c>
      <c r="L38" t="s">
        <v>28</v>
      </c>
      <c r="Q38" t="s">
        <v>53</v>
      </c>
      <c r="R38" t="s">
        <v>77</v>
      </c>
    </row>
    <row r="39" spans="7:18" x14ac:dyDescent="0.3">
      <c r="G39" t="s">
        <v>8</v>
      </c>
      <c r="L39" t="s">
        <v>27</v>
      </c>
      <c r="Q39" t="s">
        <v>54</v>
      </c>
      <c r="R39" t="s">
        <v>78</v>
      </c>
    </row>
    <row r="40" spans="7:18" x14ac:dyDescent="0.3">
      <c r="G40" t="s">
        <v>9</v>
      </c>
      <c r="L40" t="s">
        <v>29</v>
      </c>
      <c r="Q40" t="s">
        <v>55</v>
      </c>
      <c r="R40" t="s">
        <v>79</v>
      </c>
    </row>
    <row r="41" spans="7:18" x14ac:dyDescent="0.3">
      <c r="G41" t="s">
        <v>10</v>
      </c>
      <c r="L41" t="s">
        <v>30</v>
      </c>
      <c r="Q41" t="s">
        <v>56</v>
      </c>
      <c r="R41" t="s">
        <v>80</v>
      </c>
    </row>
    <row r="42" spans="7:18" x14ac:dyDescent="0.3">
      <c r="G42" t="s">
        <v>11</v>
      </c>
      <c r="L42" t="s">
        <v>31</v>
      </c>
      <c r="Q42" t="s">
        <v>57</v>
      </c>
      <c r="R42" t="s">
        <v>81</v>
      </c>
    </row>
    <row r="43" spans="7:18" x14ac:dyDescent="0.3">
      <c r="G43" t="s">
        <v>12</v>
      </c>
      <c r="L43" t="s">
        <v>32</v>
      </c>
      <c r="Q43" t="s">
        <v>58</v>
      </c>
      <c r="R43" t="s">
        <v>82</v>
      </c>
    </row>
    <row r="44" spans="7:18" x14ac:dyDescent="0.3">
      <c r="G44" t="s">
        <v>13</v>
      </c>
      <c r="L44" t="s">
        <v>33</v>
      </c>
      <c r="Q44" t="s">
        <v>59</v>
      </c>
      <c r="R44" t="s">
        <v>83</v>
      </c>
    </row>
    <row r="45" spans="7:18" x14ac:dyDescent="0.3">
      <c r="G45">
        <v>0</v>
      </c>
      <c r="L45" t="s">
        <v>34</v>
      </c>
      <c r="Q45" t="s">
        <v>60</v>
      </c>
      <c r="R45" t="s">
        <v>84</v>
      </c>
    </row>
    <row r="46" spans="7:18" x14ac:dyDescent="0.3">
      <c r="G46">
        <v>0</v>
      </c>
      <c r="L46" t="s">
        <v>35</v>
      </c>
      <c r="Q46" t="s">
        <v>61</v>
      </c>
      <c r="R46" t="s">
        <v>85</v>
      </c>
    </row>
    <row r="47" spans="7:18" x14ac:dyDescent="0.3">
      <c r="G47">
        <v>0</v>
      </c>
      <c r="L47" t="s">
        <v>36</v>
      </c>
      <c r="Q47" t="s">
        <v>62</v>
      </c>
      <c r="R47" t="s">
        <v>86</v>
      </c>
    </row>
    <row r="48" spans="7:18" x14ac:dyDescent="0.3">
      <c r="G48">
        <v>0</v>
      </c>
      <c r="L48" t="s">
        <v>37</v>
      </c>
      <c r="Q48" t="s">
        <v>63</v>
      </c>
      <c r="R48" t="s">
        <v>87</v>
      </c>
    </row>
    <row r="49" spans="7:18" x14ac:dyDescent="0.3">
      <c r="G49">
        <v>0</v>
      </c>
      <c r="L49" t="s">
        <v>38</v>
      </c>
      <c r="Q49" t="s">
        <v>64</v>
      </c>
      <c r="R49" t="s">
        <v>88</v>
      </c>
    </row>
    <row r="50" spans="7:18" x14ac:dyDescent="0.3">
      <c r="G50">
        <v>0</v>
      </c>
      <c r="L50" t="s">
        <v>39</v>
      </c>
      <c r="Q50" t="s">
        <v>65</v>
      </c>
      <c r="R50" t="s">
        <v>89</v>
      </c>
    </row>
    <row r="51" spans="7:18" x14ac:dyDescent="0.3">
      <c r="G51">
        <v>0</v>
      </c>
      <c r="L51" t="s">
        <v>40</v>
      </c>
      <c r="Q51" t="s">
        <v>66</v>
      </c>
      <c r="R51" t="s">
        <v>90</v>
      </c>
    </row>
    <row r="52" spans="7:18" x14ac:dyDescent="0.3">
      <c r="G52">
        <v>0</v>
      </c>
      <c r="L52" t="s">
        <v>41</v>
      </c>
      <c r="Q52" t="s">
        <v>67</v>
      </c>
      <c r="R52" t="s">
        <v>91</v>
      </c>
    </row>
  </sheetData>
  <mergeCells count="2">
    <mergeCell ref="C2:D2"/>
    <mergeCell ref="F2:G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Wenger</dc:creator>
  <cp:lastModifiedBy>JACQUES WENGER</cp:lastModifiedBy>
  <dcterms:created xsi:type="dcterms:W3CDTF">2015-06-05T18:19:34Z</dcterms:created>
  <dcterms:modified xsi:type="dcterms:W3CDTF">2025-01-22T10:13:07Z</dcterms:modified>
</cp:coreProperties>
</file>